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120" activeTab="2"/>
  </bookViews>
  <sheets>
    <sheet name="Sheet2" sheetId="2" r:id="rId1"/>
    <sheet name="Sheet4" sheetId="4" r:id="rId2"/>
    <sheet name="Sheet5" sheetId="5" r:id="rId3"/>
    <sheet name="Sheet1" sheetId="1" r:id="rId4"/>
  </sheets>
  <definedNames>
    <definedName name="Slicer_PRET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<sst xmlns="http://schemas.openxmlformats.org/spreadsheetml/2006/main" count="62" uniqueCount="28">
  <si>
    <t>TARA</t>
  </si>
  <si>
    <t>VALOARE</t>
  </si>
  <si>
    <t>Average of VALOARE</t>
  </si>
  <si>
    <t>Max of PRET</t>
  </si>
  <si>
    <t>Average of CANTITATE</t>
  </si>
  <si>
    <t>Count of PRODUS</t>
  </si>
  <si>
    <t>ITALIA</t>
  </si>
  <si>
    <t>RUSIA</t>
  </si>
  <si>
    <t>GERMANIA</t>
  </si>
  <si>
    <t>FRANTA</t>
  </si>
  <si>
    <t>ROMANIA</t>
  </si>
  <si>
    <t>Grand Total</t>
  </si>
  <si>
    <t>PRODUS</t>
  </si>
  <si>
    <t>Sum of VALOARE</t>
  </si>
  <si>
    <t>Count of an</t>
  </si>
  <si>
    <t>BANANE</t>
  </si>
  <si>
    <t>PERE</t>
  </si>
  <si>
    <t>CAISE</t>
  </si>
  <si>
    <t>MERE</t>
  </si>
  <si>
    <t>PIERSICI</t>
  </si>
  <si>
    <t>CORCODUSE</t>
  </si>
  <si>
    <t>PORTOCALE</t>
  </si>
  <si>
    <t>CIRESE</t>
  </si>
  <si>
    <t>PRUNE</t>
  </si>
  <si>
    <t>an</t>
  </si>
  <si>
    <t>NR CRT</t>
  </si>
  <si>
    <t>PRET</t>
  </si>
  <si>
    <t>CANTITATE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</si>
</sst>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ddd\,mmmm\ d\,yyyy;@"/>
    <numFmt numFmtId="179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253365</xdr:colOff>
      <xdr:row>1</xdr:row>
      <xdr:rowOff>167640</xdr:rowOff>
    </xdr:from>
    <xdr:to>
      <xdr:col>11</xdr:col>
      <xdr:colOff>238760</xdr:colOff>
      <xdr:row>15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PRE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E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46545" y="350520"/>
              <a:ext cx="1814195" cy="241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7.7206134259" refreshedBy="Lenovo" recordCount="9">
  <cacheSource type="worksheet">
    <worksheetSource ref="B2:G11" sheet="Sheet1"/>
  </cacheSource>
  <cacheFields count="6">
    <cacheField name="NR CRT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PRODUS" numFmtId="0">
      <sharedItems count="9">
        <s v="MERE"/>
        <s v="PERE"/>
        <s v="CAISE"/>
        <s v="PIERSICI"/>
        <s v="PRUNE"/>
        <s v="CIRESE"/>
        <s v="BANANE"/>
        <s v="PORTOCALE"/>
        <s v="CORCODUSE"/>
      </sharedItems>
    </cacheField>
    <cacheField name="PRET" numFmtId="0">
      <sharedItems containsSemiMixedTypes="0" containsString="0" containsNumber="1" minValue="12" maxValue="150" count="6">
        <n v="12"/>
        <n v="150"/>
        <n v="17"/>
        <n v="15"/>
        <n v="25"/>
        <n v="12.52"/>
      </sharedItems>
    </cacheField>
    <cacheField name="CANTITATE" numFmtId="0">
      <sharedItems containsSemiMixedTypes="0" containsString="0" containsNumber="1" containsInteger="1" minValue="12" maxValue="180" count="5">
        <n v="150"/>
        <n v="15"/>
        <n v="152"/>
        <n v="12"/>
        <n v="180"/>
      </sharedItems>
    </cacheField>
    <cacheField name="VALOARE" numFmtId="0">
      <sharedItems containsSemiMixedTypes="0" containsString="0" containsNumber="1" minValue="144" maxValue="3800" count="8">
        <n v="1800"/>
        <n v="2250"/>
        <n v="2584"/>
        <n v="144"/>
        <n v="225"/>
        <n v="180"/>
        <n v="3800"/>
        <n v="2253.6"/>
      </sharedItems>
    </cacheField>
    <cacheField name="TARA" numFmtId="0">
      <sharedItems count="5">
        <s v="GERMANIA"/>
        <s v="FRANTA"/>
        <s v="ITALIA"/>
        <s v="RUSIA"/>
        <s v="ROMANI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7.9355671296" refreshedBy="Lenovo" recordCount="9">
  <cacheSource type="worksheet">
    <worksheetSource ref="B2:H11" sheet="Sheet1"/>
  </cacheSource>
  <cacheFields count="8">
    <cacheField name="NR CRT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PRODUS" numFmtId="0">
      <sharedItems count="9">
        <s v="MERE"/>
        <s v="PERE"/>
        <s v="CAISE"/>
        <s v="PIERSICI"/>
        <s v="PRUNE"/>
        <s v="CIRESE"/>
        <s v="BANANE"/>
        <s v="PORTOCALE"/>
        <s v="CORCODUSE"/>
      </sharedItems>
    </cacheField>
    <cacheField name="PRET" numFmtId="0">
      <sharedItems containsSemiMixedTypes="0" containsString="0" containsNumber="1" minValue="12" maxValue="150" count="6">
        <n v="12"/>
        <n v="150"/>
        <n v="17"/>
        <n v="15"/>
        <n v="25"/>
        <n v="12.52"/>
      </sharedItems>
    </cacheField>
    <cacheField name="CANTITATE" numFmtId="0">
      <sharedItems containsSemiMixedTypes="0" containsString="0" containsNumber="1" containsInteger="1" minValue="12" maxValue="180" count="5">
        <n v="150"/>
        <n v="15"/>
        <n v="152"/>
        <n v="12"/>
        <n v="180"/>
      </sharedItems>
    </cacheField>
    <cacheField name="VALOARE" numFmtId="0">
      <sharedItems containsSemiMixedTypes="0" containsString="0" containsNumber="1" minValue="144" maxValue="3800" count="8">
        <n v="1800"/>
        <n v="2250"/>
        <n v="2584"/>
        <n v="144"/>
        <n v="225"/>
        <n v="180"/>
        <n v="3800"/>
        <n v="2253.6"/>
      </sharedItems>
    </cacheField>
    <cacheField name="TARA" numFmtId="0">
      <sharedItems count="5">
        <s v="GERMANIA"/>
        <s v="FRANTA"/>
        <s v="ITALIA"/>
        <s v="RUSIA"/>
        <s v="ROMANIA"/>
      </sharedItems>
    </cacheField>
    <cacheField name="an" numFmtId="0">
      <sharedItems containsDate="1" containsMixedTypes="1" count="8">
        <d v="1905-06-22T00:00:00"/>
        <d v="1900-01-21T00:00:00"/>
        <d v="1900-01-10T00:00:00"/>
        <d v="1905-06-24T00:00:00"/>
        <s v="25/02/2026"/>
        <s v="15/02/2026"/>
        <d v="2026-11-02T00:00:00"/>
        <d v="2025-10-05T00:00:00"/>
      </sharedItems>
      <fieldGroup par="7"/>
    </cacheField>
    <cacheField name="an2" numFmtId="0" databaseField="0">
      <fieldGroup base="6">
        <discretePr count="8">
          <x v="0"/>
          <x v="1"/>
          <x v="1"/>
          <x v="2"/>
          <x v="3"/>
          <x v="4"/>
          <x v="5"/>
          <x v="6"/>
        </discretePr>
        <groupItems count="7">
          <d v="1905-06-22T00:00:00"/>
          <s v="GROUP1"/>
          <d v="1905-06-24T00:00:00"/>
          <s v="25/02/2026"/>
          <s v="15/02/2026"/>
          <d v="2026-11-02T00:00:00"/>
          <d v="2025-10-05T00:00:00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0"/>
  </r>
  <r>
    <x v="3"/>
    <x v="3"/>
    <x v="0"/>
    <x v="3"/>
    <x v="3"/>
    <x v="2"/>
  </r>
  <r>
    <x v="4"/>
    <x v="4"/>
    <x v="3"/>
    <x v="1"/>
    <x v="4"/>
    <x v="3"/>
  </r>
  <r>
    <x v="5"/>
    <x v="5"/>
    <x v="3"/>
    <x v="3"/>
    <x v="5"/>
    <x v="3"/>
  </r>
  <r>
    <x v="6"/>
    <x v="6"/>
    <x v="4"/>
    <x v="2"/>
    <x v="6"/>
    <x v="1"/>
  </r>
  <r>
    <x v="7"/>
    <x v="7"/>
    <x v="4"/>
    <x v="2"/>
    <x v="6"/>
    <x v="4"/>
  </r>
  <r>
    <x v="8"/>
    <x v="8"/>
    <x v="5"/>
    <x v="4"/>
    <x v="7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2"/>
    <x v="2"/>
    <x v="0"/>
    <x v="2"/>
  </r>
  <r>
    <x v="3"/>
    <x v="3"/>
    <x v="0"/>
    <x v="3"/>
    <x v="3"/>
    <x v="2"/>
    <x v="3"/>
  </r>
  <r>
    <x v="4"/>
    <x v="4"/>
    <x v="3"/>
    <x v="1"/>
    <x v="4"/>
    <x v="3"/>
    <x v="4"/>
  </r>
  <r>
    <x v="5"/>
    <x v="5"/>
    <x v="3"/>
    <x v="3"/>
    <x v="5"/>
    <x v="3"/>
    <x v="5"/>
  </r>
  <r>
    <x v="6"/>
    <x v="6"/>
    <x v="4"/>
    <x v="2"/>
    <x v="6"/>
    <x v="1"/>
    <x v="5"/>
  </r>
  <r>
    <x v="7"/>
    <x v="7"/>
    <x v="4"/>
    <x v="2"/>
    <x v="6"/>
    <x v="4"/>
    <x v="6"/>
  </r>
  <r>
    <x v="8"/>
    <x v="8"/>
    <x v="5"/>
    <x v="4"/>
    <x v="7"/>
    <x v="4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F18" firstHeaderRow="0" firstDataRow="1" firstDataCol="2"/>
  <pivotFields count="6">
    <pivotField compact="0" showAll="0"/>
    <pivotField dataField="1" compact="0" showAll="0"/>
    <pivotField dataField="1" compact="0" showAll="0">
      <items count="7">
        <item x="0"/>
        <item x="5"/>
        <item x="3"/>
        <item x="2"/>
        <item x="4"/>
        <item x="1"/>
        <item t="default"/>
      </items>
    </pivotField>
    <pivotField dataField="1" compact="0" showAll="0"/>
    <pivotField axis="axisRow" dataField="1" compact="0" sortType="ascending" showAll="0">
      <items count="9">
        <item x="3"/>
        <item x="5"/>
        <item x="4"/>
        <item x="0"/>
        <item x="1"/>
        <item x="7"/>
        <item x="2"/>
        <item x="6"/>
        <item t="default"/>
      </items>
    </pivotField>
    <pivotField axis="axisRow" compact="0" sortType="ascending" showAll="0">
      <items count="6">
        <item x="1"/>
        <item x="0"/>
        <item x="2"/>
        <item x="4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5"/>
    <field x="4"/>
  </rowFields>
  <rowItems count="15">
    <i>
      <x v="2"/>
    </i>
    <i r="1">
      <x/>
    </i>
    <i>
      <x v="4"/>
    </i>
    <i r="1">
      <x v="1"/>
    </i>
    <i r="1">
      <x v="2"/>
    </i>
    <i>
      <x v="1"/>
    </i>
    <i r="1">
      <x v="3"/>
    </i>
    <i r="1">
      <x v="6"/>
    </i>
    <i>
      <x/>
    </i>
    <i r="1">
      <x v="4"/>
    </i>
    <i r="1">
      <x v="7"/>
    </i>
    <i>
      <x v="3"/>
    </i>
    <i r="1">
      <x v="5"/>
    </i>
    <i r="1"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VALOARE" fld="4" subtotal="average" baseField="0" baseItem="0"/>
    <dataField name="Max of PRET" fld="2" subtotal="max" baseField="0" baseItem="0"/>
    <dataField name="Average of CANTITATE" fld="3" subtotal="average" baseField="0" baseItem="0"/>
    <dataField name="Count of PRODUS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18" firstHeaderRow="0" firstDataRow="1" firstDataCol="2"/>
  <pivotFields count="8"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compact="0" showAll="0">
      <items count="10">
        <item x="6"/>
        <item sd="0" x="2"/>
        <item x="5"/>
        <item x="8"/>
        <item x="0"/>
        <item x="1"/>
        <item x="3"/>
        <item x="7"/>
        <item x="4"/>
        <item t="default"/>
      </items>
    </pivotField>
    <pivotField compact="0" showAll="0">
      <items count="7">
        <item x="0"/>
        <item x="5"/>
        <item x="3"/>
        <item x="2"/>
        <item x="4"/>
        <item x="1"/>
        <item t="default"/>
      </items>
    </pivotField>
    <pivotField compact="0" showAll="0">
      <items count="6">
        <item x="3"/>
        <item x="1"/>
        <item x="0"/>
        <item x="2"/>
        <item x="4"/>
        <item t="default"/>
      </items>
    </pivotField>
    <pivotField dataField="1" compact="0" showAll="0">
      <items count="9">
        <item x="3"/>
        <item x="5"/>
        <item x="4"/>
        <item x="0"/>
        <item x="1"/>
        <item x="7"/>
        <item x="2"/>
        <item x="6"/>
        <item t="default"/>
      </items>
    </pivotField>
    <pivotField axis="axisRow" compact="0" showAll="0">
      <items count="6">
        <item x="1"/>
        <item x="0"/>
        <item x="2"/>
        <item x="4"/>
        <item x="3"/>
        <item t="default"/>
      </items>
    </pivotField>
    <pivotField dataField="1" compact="0" multipleItemSelectionAllowed="1" showAll="0">
      <items count="9">
        <item h="1" x="5"/>
        <item h="1" x="4"/>
        <item x="2"/>
        <item x="1"/>
        <item h="1" x="0"/>
        <item h="1" x="3"/>
        <item h="1" x="7"/>
        <item h="1" x="6"/>
        <item t="default"/>
      </items>
    </pivotField>
    <pivotField compact="0" defaultSubtotal="0" showAll="0">
      <items count="7">
        <item x="4"/>
        <item x="3"/>
        <item x="1"/>
        <item x="0"/>
        <item x="2"/>
        <item x="6"/>
        <item x="5"/>
      </items>
    </pivotField>
  </pivotFields>
  <rowFields count="2">
    <field x="5"/>
    <field x="1"/>
  </rowFields>
  <rowItems count="15">
    <i>
      <x/>
    </i>
    <i r="1">
      <x/>
    </i>
    <i r="1">
      <x v="5"/>
    </i>
    <i>
      <x v="1"/>
    </i>
    <i r="1">
      <x v="1"/>
    </i>
    <i r="1">
      <x v="4"/>
    </i>
    <i>
      <x v="2"/>
    </i>
    <i r="1">
      <x v="6"/>
    </i>
    <i>
      <x v="3"/>
    </i>
    <i r="1">
      <x v="3"/>
    </i>
    <i r="1">
      <x v="7"/>
    </i>
    <i>
      <x v="4"/>
    </i>
    <i r="1">
      <x v="2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LOARE" fld="4" baseField="0" baseItem="0"/>
    <dataField name="Count of an" fld="6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D6" firstHeaderRow="0" firstDataRow="1" firstDataCol="2"/>
  <pivotFields count="8">
    <pivotField compact="0" showAll="0"/>
    <pivotField dataField="1" compact="0" showAll="0">
      <items count="10">
        <item x="6"/>
        <item x="2"/>
        <item x="5"/>
        <item x="8"/>
        <item x="0"/>
        <item x="1"/>
        <item x="3"/>
        <item x="7"/>
        <item x="4"/>
        <item t="default"/>
      </items>
    </pivotField>
    <pivotField compact="0" showAll="0"/>
    <pivotField compact="0" showAll="0"/>
    <pivotField dataField="1" compact="0" showAll="0"/>
    <pivotField axis="axisRow" compact="0" showAll="0">
      <items count="6">
        <item x="1"/>
        <item x="0"/>
        <item x="2"/>
        <item x="4"/>
        <item x="3"/>
        <item t="default"/>
      </items>
    </pivotField>
    <pivotField axis="axisRow" compact="0" multipleItemSelectionAllowed="1" showAll="0">
      <items count="9">
        <item h="1" x="5"/>
        <item h="1" x="4"/>
        <item h="1" x="2"/>
        <item h="1" x="1"/>
        <item h="1" x="0"/>
        <item h="1" x="3"/>
        <item x="7"/>
        <item h="1" x="6"/>
        <item t="default"/>
      </items>
    </pivotField>
    <pivotField compact="0" defaultSubtotal="0" showAll="0"/>
  </pivotFields>
  <rowFields count="2">
    <field x="5"/>
    <field x="6"/>
  </rowFields>
  <rowItems count="3">
    <i>
      <x v="3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ALOARE" fld="4" baseField="0" baseItem="0"/>
    <dataField name="Count of PRODUS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ET" sourceName="PRET">
  <pivotTables>
    <pivotTable tabId="4" name="PivotTable3"/>
  </pivotTables>
  <data>
    <tabular pivotCacheId="1">
      <items count="6">
        <i x="0" s="1"/>
        <i x="5" s="1"/>
        <i x="3" s="1"/>
        <i x="2" s="1"/>
        <i x="4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ET" cache="Slicer_PRET" caption="PRET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8"/>
  <sheetViews>
    <sheetView workbookViewId="0">
      <selection activeCell="B4" sqref="B4"/>
    </sheetView>
  </sheetViews>
  <sheetFormatPr defaultColWidth="8.88888888888889" defaultRowHeight="14.4" outlineLevelCol="5"/>
  <cols>
    <col min="1" max="2" width="11.6666666666667"/>
    <col min="3" max="6" width="21.4444444444444"/>
  </cols>
  <sheetData>
    <row r="3" spans="1: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>
      <c r="A4" t="s">
        <v>6</v>
      </c>
      <c r="B4"/>
      <c r="C4">
        <v>144</v>
      </c>
      <c r="D4">
        <v>12</v>
      </c>
      <c r="E4">
        <v>12</v>
      </c>
      <c r="F4">
        <v>1</v>
      </c>
    </row>
    <row r="5" spans="2:6">
      <c r="B5">
        <v>144</v>
      </c>
      <c r="C5">
        <v>144</v>
      </c>
      <c r="D5">
        <v>12</v>
      </c>
      <c r="E5">
        <v>12</v>
      </c>
      <c r="F5">
        <v>1</v>
      </c>
    </row>
    <row r="6" spans="1:6">
      <c r="A6" t="s">
        <v>7</v>
      </c>
      <c r="B6"/>
      <c r="C6">
        <v>202.5</v>
      </c>
      <c r="D6">
        <v>15</v>
      </c>
      <c r="E6">
        <v>13.5</v>
      </c>
      <c r="F6">
        <v>2</v>
      </c>
    </row>
    <row r="7" spans="2:6">
      <c r="B7">
        <v>180</v>
      </c>
      <c r="C7">
        <v>180</v>
      </c>
      <c r="D7">
        <v>15</v>
      </c>
      <c r="E7">
        <v>12</v>
      </c>
      <c r="F7">
        <v>1</v>
      </c>
    </row>
    <row r="8" spans="2:6">
      <c r="B8">
        <v>225</v>
      </c>
      <c r="C8">
        <v>225</v>
      </c>
      <c r="D8">
        <v>15</v>
      </c>
      <c r="E8">
        <v>15</v>
      </c>
      <c r="F8">
        <v>1</v>
      </c>
    </row>
    <row r="9" spans="1:6">
      <c r="A9" t="s">
        <v>8</v>
      </c>
      <c r="B9"/>
      <c r="C9">
        <v>2192</v>
      </c>
      <c r="D9">
        <v>17</v>
      </c>
      <c r="E9">
        <v>151</v>
      </c>
      <c r="F9">
        <v>2</v>
      </c>
    </row>
    <row r="10" spans="2:6">
      <c r="B10">
        <v>1800</v>
      </c>
      <c r="C10">
        <v>1800</v>
      </c>
      <c r="D10">
        <v>12</v>
      </c>
      <c r="E10">
        <v>150</v>
      </c>
      <c r="F10">
        <v>1</v>
      </c>
    </row>
    <row r="11" spans="2:6">
      <c r="B11">
        <v>2584</v>
      </c>
      <c r="C11">
        <v>2584</v>
      </c>
      <c r="D11">
        <v>17</v>
      </c>
      <c r="E11">
        <v>152</v>
      </c>
      <c r="F11">
        <v>1</v>
      </c>
    </row>
    <row r="12" spans="1:6">
      <c r="A12" t="s">
        <v>9</v>
      </c>
      <c r="B12"/>
      <c r="C12">
        <v>3025</v>
      </c>
      <c r="D12">
        <v>150</v>
      </c>
      <c r="E12">
        <v>83.5</v>
      </c>
      <c r="F12">
        <v>2</v>
      </c>
    </row>
    <row r="13" spans="2:6">
      <c r="B13">
        <v>2250</v>
      </c>
      <c r="C13">
        <v>2250</v>
      </c>
      <c r="D13">
        <v>150</v>
      </c>
      <c r="E13">
        <v>15</v>
      </c>
      <c r="F13">
        <v>1</v>
      </c>
    </row>
    <row r="14" spans="2:6">
      <c r="B14">
        <v>3800</v>
      </c>
      <c r="C14">
        <v>3800</v>
      </c>
      <c r="D14">
        <v>25</v>
      </c>
      <c r="E14">
        <v>152</v>
      </c>
      <c r="F14">
        <v>1</v>
      </c>
    </row>
    <row r="15" spans="1:6">
      <c r="A15" t="s">
        <v>10</v>
      </c>
      <c r="B15"/>
      <c r="C15">
        <v>3026.8</v>
      </c>
      <c r="D15">
        <v>25</v>
      </c>
      <c r="E15">
        <v>166</v>
      </c>
      <c r="F15">
        <v>2</v>
      </c>
    </row>
    <row r="16" spans="2:6">
      <c r="B16">
        <v>2253.6</v>
      </c>
      <c r="C16">
        <v>2253.6</v>
      </c>
      <c r="D16">
        <v>12.52</v>
      </c>
      <c r="E16">
        <v>180</v>
      </c>
      <c r="F16">
        <v>1</v>
      </c>
    </row>
    <row r="17" spans="2:6">
      <c r="B17">
        <v>3800</v>
      </c>
      <c r="C17">
        <v>3800</v>
      </c>
      <c r="D17">
        <v>25</v>
      </c>
      <c r="E17">
        <v>152</v>
      </c>
      <c r="F17">
        <v>1</v>
      </c>
    </row>
    <row r="18" spans="1:6">
      <c r="A18" t="s">
        <v>11</v>
      </c>
      <c r="B18"/>
      <c r="C18">
        <v>1892.95555555556</v>
      </c>
      <c r="D18">
        <v>150</v>
      </c>
      <c r="E18">
        <v>93.3333333333333</v>
      </c>
      <c r="F18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8"/>
  <sheetViews>
    <sheetView workbookViewId="0">
      <selection activeCell="B5" sqref="B5:D5"/>
      <pivotSelection pane="bottomRight" showHeader="1" extendable="1" axis="axisRow" activeRow="4" activeCol="1" previousRow="4" previousCol="1" click="1" r:id="rId1">
        <pivotArea dataOnly="0" fieldPosition="0">
          <references count="1">
            <reference field="1" count="1">
              <x v="0"/>
            </reference>
          </references>
        </pivotArea>
      </pivotSelection>
    </sheetView>
  </sheetViews>
  <sheetFormatPr defaultColWidth="8.88888888888889" defaultRowHeight="14.4" outlineLevelCol="3"/>
  <cols>
    <col min="1" max="1" width="11.6666666666667"/>
    <col min="2" max="2" width="12.4444444444444"/>
    <col min="3" max="4" width="16.1111111111111"/>
    <col min="5" max="5" width="10.2222222222222"/>
  </cols>
  <sheetData>
    <row r="3" spans="1:4">
      <c r="A3" t="s">
        <v>0</v>
      </c>
      <c r="B3" t="s">
        <v>12</v>
      </c>
      <c r="C3" t="s">
        <v>13</v>
      </c>
      <c r="D3" t="s">
        <v>14</v>
      </c>
    </row>
    <row r="4" spans="1:4">
      <c r="A4" t="s">
        <v>9</v>
      </c>
      <c r="B4"/>
      <c r="C4">
        <v>6050</v>
      </c>
      <c r="D4">
        <v>2</v>
      </c>
    </row>
    <row r="5" spans="2:4">
      <c r="B5" t="s">
        <v>15</v>
      </c>
      <c r="C5">
        <v>3800</v>
      </c>
      <c r="D5">
        <v>1</v>
      </c>
    </row>
    <row r="6" spans="2:4">
      <c r="B6" t="s">
        <v>16</v>
      </c>
      <c r="C6">
        <v>2250</v>
      </c>
      <c r="D6">
        <v>1</v>
      </c>
    </row>
    <row r="7" spans="1:4">
      <c r="A7" t="s">
        <v>8</v>
      </c>
      <c r="B7"/>
      <c r="C7">
        <v>4384</v>
      </c>
      <c r="D7">
        <v>2</v>
      </c>
    </row>
    <row r="8" spans="2:4">
      <c r="B8" t="s">
        <v>17</v>
      </c>
      <c r="C8">
        <v>2584</v>
      </c>
      <c r="D8">
        <v>1</v>
      </c>
    </row>
    <row r="9" spans="2:4">
      <c r="B9" t="s">
        <v>18</v>
      </c>
      <c r="C9">
        <v>1800</v>
      </c>
      <c r="D9">
        <v>1</v>
      </c>
    </row>
    <row r="10" spans="1:4">
      <c r="A10" t="s">
        <v>6</v>
      </c>
      <c r="B10"/>
      <c r="C10">
        <v>144</v>
      </c>
      <c r="D10">
        <v>1</v>
      </c>
    </row>
    <row r="11" spans="2:4">
      <c r="B11" t="s">
        <v>19</v>
      </c>
      <c r="C11">
        <v>144</v>
      </c>
      <c r="D11">
        <v>1</v>
      </c>
    </row>
    <row r="12" spans="1:4">
      <c r="A12" t="s">
        <v>10</v>
      </c>
      <c r="B12"/>
      <c r="C12">
        <v>6053.6</v>
      </c>
      <c r="D12">
        <v>2</v>
      </c>
    </row>
    <row r="13" spans="2:4">
      <c r="B13" t="s">
        <v>20</v>
      </c>
      <c r="C13">
        <v>2253.6</v>
      </c>
      <c r="D13">
        <v>1</v>
      </c>
    </row>
    <row r="14" spans="2:4">
      <c r="B14" t="s">
        <v>21</v>
      </c>
      <c r="C14">
        <v>3800</v>
      </c>
      <c r="D14">
        <v>1</v>
      </c>
    </row>
    <row r="15" spans="1:4">
      <c r="A15" t="s">
        <v>7</v>
      </c>
      <c r="B15"/>
      <c r="C15">
        <v>405</v>
      </c>
      <c r="D15">
        <v>2</v>
      </c>
    </row>
    <row r="16" spans="2:4">
      <c r="B16" t="s">
        <v>22</v>
      </c>
      <c r="C16">
        <v>180</v>
      </c>
      <c r="D16">
        <v>1</v>
      </c>
    </row>
    <row r="17" spans="2:4">
      <c r="B17" t="s">
        <v>23</v>
      </c>
      <c r="C17">
        <v>225</v>
      </c>
      <c r="D17">
        <v>1</v>
      </c>
    </row>
    <row r="18" spans="1:4">
      <c r="A18" t="s">
        <v>11</v>
      </c>
      <c r="B18"/>
      <c r="C18">
        <v>17036.6</v>
      </c>
      <c r="D18">
        <v>9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6"/>
  <sheetViews>
    <sheetView tabSelected="1" workbookViewId="0">
      <selection activeCell="D6" sqref="D6"/>
    </sheetView>
  </sheetViews>
  <sheetFormatPr defaultColWidth="8.88888888888889" defaultRowHeight="14.4" outlineLevelRow="5" outlineLevelCol="3"/>
  <cols>
    <col min="1" max="1" width="11.6666666666667"/>
    <col min="2" max="2" width="10.2222222222222"/>
    <col min="3" max="4" width="16.8888888888889"/>
  </cols>
  <sheetData>
    <row r="3" spans="1:4">
      <c r="A3" t="s">
        <v>0</v>
      </c>
      <c r="B3" t="s">
        <v>24</v>
      </c>
      <c r="C3" t="s">
        <v>13</v>
      </c>
      <c r="D3" t="s">
        <v>5</v>
      </c>
    </row>
    <row r="4" spans="1:4">
      <c r="A4" t="s">
        <v>10</v>
      </c>
      <c r="B4"/>
      <c r="C4">
        <v>2253.6</v>
      </c>
      <c r="D4">
        <v>1</v>
      </c>
    </row>
    <row r="5" spans="2:4">
      <c r="B5" s="3">
        <v>45935</v>
      </c>
      <c r="C5">
        <v>2253.6</v>
      </c>
      <c r="D5">
        <v>1</v>
      </c>
    </row>
    <row r="6" spans="1:4">
      <c r="A6" t="s">
        <v>11</v>
      </c>
      <c r="B6"/>
      <c r="C6">
        <v>2253.6</v>
      </c>
      <c r="D6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1"/>
  <sheetViews>
    <sheetView workbookViewId="0">
      <selection activeCell="B2" sqref="B2:H11"/>
    </sheetView>
  </sheetViews>
  <sheetFormatPr defaultColWidth="8.88888888888889" defaultRowHeight="14.4" outlineLevelCol="7"/>
  <cols>
    <col min="8" max="8" width="11.4444444444444"/>
  </cols>
  <sheetData>
    <row r="2" spans="2:8">
      <c r="B2" t="s">
        <v>25</v>
      </c>
      <c r="C2" t="s">
        <v>12</v>
      </c>
      <c r="D2" t="s">
        <v>26</v>
      </c>
      <c r="E2" t="s">
        <v>27</v>
      </c>
      <c r="F2" t="s">
        <v>1</v>
      </c>
      <c r="G2" t="s">
        <v>0</v>
      </c>
      <c r="H2" s="1" t="s">
        <v>24</v>
      </c>
    </row>
    <row r="3" spans="2:8">
      <c r="B3">
        <v>1</v>
      </c>
      <c r="C3" t="s">
        <v>18</v>
      </c>
      <c r="D3">
        <v>12</v>
      </c>
      <c r="E3">
        <v>150</v>
      </c>
      <c r="F3">
        <f>D3*E3</f>
        <v>1800</v>
      </c>
      <c r="G3" t="s">
        <v>8</v>
      </c>
      <c r="H3" s="2">
        <v>2000</v>
      </c>
    </row>
    <row r="4" spans="2:8">
      <c r="B4">
        <v>2</v>
      </c>
      <c r="C4" t="s">
        <v>16</v>
      </c>
      <c r="D4">
        <v>150</v>
      </c>
      <c r="E4">
        <v>15</v>
      </c>
      <c r="F4">
        <f t="shared" ref="F4:F11" si="0">D4*E4</f>
        <v>2250</v>
      </c>
      <c r="G4" t="s">
        <v>9</v>
      </c>
      <c r="H4" s="3">
        <v>22</v>
      </c>
    </row>
    <row r="5" spans="2:8">
      <c r="B5">
        <v>3</v>
      </c>
      <c r="C5" t="s">
        <v>17</v>
      </c>
      <c r="D5">
        <v>17</v>
      </c>
      <c r="E5">
        <v>152</v>
      </c>
      <c r="F5">
        <f t="shared" si="0"/>
        <v>2584</v>
      </c>
      <c r="G5" t="s">
        <v>8</v>
      </c>
      <c r="H5" s="3">
        <v>11</v>
      </c>
    </row>
    <row r="6" spans="2:8">
      <c r="B6">
        <v>4</v>
      </c>
      <c r="C6" t="s">
        <v>19</v>
      </c>
      <c r="D6">
        <v>12</v>
      </c>
      <c r="E6">
        <v>12</v>
      </c>
      <c r="F6">
        <f t="shared" si="0"/>
        <v>144</v>
      </c>
      <c r="G6" t="s">
        <v>6</v>
      </c>
      <c r="H6" s="3">
        <v>2002</v>
      </c>
    </row>
    <row r="7" spans="2:8">
      <c r="B7">
        <v>5</v>
      </c>
      <c r="C7" t="s">
        <v>23</v>
      </c>
      <c r="D7">
        <v>15</v>
      </c>
      <c r="E7">
        <v>15</v>
      </c>
      <c r="F7">
        <f t="shared" si="0"/>
        <v>225</v>
      </c>
      <c r="G7" t="s">
        <v>7</v>
      </c>
      <c r="H7" s="3">
        <v>46078</v>
      </c>
    </row>
    <row r="8" spans="2:8">
      <c r="B8">
        <v>6</v>
      </c>
      <c r="C8" t="s">
        <v>22</v>
      </c>
      <c r="D8">
        <v>15</v>
      </c>
      <c r="E8">
        <v>12</v>
      </c>
      <c r="F8">
        <f t="shared" si="0"/>
        <v>180</v>
      </c>
      <c r="G8" t="s">
        <v>7</v>
      </c>
      <c r="H8" s="3">
        <v>46068</v>
      </c>
    </row>
    <row r="9" spans="2:8">
      <c r="B9">
        <v>7</v>
      </c>
      <c r="C9" t="s">
        <v>15</v>
      </c>
      <c r="D9">
        <v>25</v>
      </c>
      <c r="E9">
        <v>152</v>
      </c>
      <c r="F9">
        <f t="shared" si="0"/>
        <v>3800</v>
      </c>
      <c r="G9" t="s">
        <v>9</v>
      </c>
      <c r="H9" s="3">
        <v>46070</v>
      </c>
    </row>
    <row r="10" spans="2:8">
      <c r="B10">
        <v>8</v>
      </c>
      <c r="C10" t="s">
        <v>21</v>
      </c>
      <c r="D10">
        <v>25</v>
      </c>
      <c r="E10">
        <v>152</v>
      </c>
      <c r="F10">
        <f t="shared" si="0"/>
        <v>3800</v>
      </c>
      <c r="G10" t="s">
        <v>10</v>
      </c>
      <c r="H10" s="3">
        <v>46328</v>
      </c>
    </row>
    <row r="11" spans="2:8">
      <c r="B11">
        <v>9</v>
      </c>
      <c r="C11" t="s">
        <v>20</v>
      </c>
      <c r="D11">
        <v>12.52</v>
      </c>
      <c r="E11">
        <v>180</v>
      </c>
      <c r="F11">
        <f t="shared" si="0"/>
        <v>2253.6</v>
      </c>
      <c r="G11" t="s">
        <v>10</v>
      </c>
      <c r="H11" s="3">
        <v>45935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Sheet5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2026-06-14T14:13:36Z</dcterms:created>
  <dcterms:modified xsi:type="dcterms:W3CDTF">2026-06-14T19:44:57Z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145699F7D8AA4F5D926BF20F657517C5_11</vt:lpwstr>
  </property>
  <property fmtid="{D5CDD505-2E9C-101B-9397-08002B2CF9AE}" pid="3" name="KSOProductBuildVer">
    <vt:lpwstr>1033-12.9.0.21555</vt:lpwstr>
  </property>
</Properties>
</file>